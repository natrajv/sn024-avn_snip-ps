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s\sn024\todo\"/>
    </mc:Choice>
  </mc:AlternateContent>
  <xr:revisionPtr revIDLastSave="0" documentId="13_ncr:1_{65F6F8CE-A3C3-4751-97C2-C92FA4AB452D}" xr6:coauthVersionLast="47" xr6:coauthVersionMax="47" xr10:uidLastSave="{00000000-0000-0000-0000-000000000000}"/>
  <bookViews>
    <workbookView xWindow="-120" yWindow="-120" windowWidth="29040" windowHeight="15720" tabRatio="747" activeTab="9" xr2:uid="{00000000-000D-0000-FFFF-FFFF00000000}"/>
  </bookViews>
  <sheets>
    <sheet name="0.1-notes" sheetId="3" r:id="rId1"/>
    <sheet name="0.2-diary" sheetId="4" r:id="rId2"/>
    <sheet name="0.3-todo" sheetId="11" r:id="rId3"/>
    <sheet name="4.0-milestones" sheetId="6" r:id="rId4"/>
    <sheet name="4.1-steps" sheetId="14" r:id="rId5"/>
    <sheet name="4.3-pseudo" sheetId="15" r:id="rId6"/>
    <sheet name="7-qna" sheetId="13" r:id="rId7"/>
    <sheet name="8-cmd" sheetId="16" r:id="rId8"/>
    <sheet name="9-terms" sheetId="12" r:id="rId9"/>
    <sheet name="10-ref" sheetId="17" r:id="rId10"/>
    <sheet name="25-codes" sheetId="2" r:id="rId11"/>
    <sheet name="50-arch-todo" sheetId="10" r:id="rId12"/>
  </sheets>
  <definedNames>
    <definedName name="_xlnm._FilterDatabase" localSheetId="2" hidden="1">'0.3-todo'!$A$1:$O$11</definedName>
    <definedName name="_xlnm._FilterDatabase" localSheetId="11" hidden="1">'50-arch-todo'!$A$1:$O$11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1" l="1"/>
  <c r="F2" i="12"/>
  <c r="I2" i="10"/>
  <c r="L2" i="11"/>
</calcChain>
</file>

<file path=xl/sharedStrings.xml><?xml version="1.0" encoding="utf-8"?>
<sst xmlns="http://schemas.openxmlformats.org/spreadsheetml/2006/main" count="432" uniqueCount="290">
  <si>
    <t>ToDo ID</t>
  </si>
  <si>
    <t>To Do Description</t>
  </si>
  <si>
    <t>DOO</t>
  </si>
  <si>
    <t>Case ID</t>
  </si>
  <si>
    <t>Priority</t>
  </si>
  <si>
    <t>Assigned</t>
  </si>
  <si>
    <t>Eff. in Hrs</t>
  </si>
  <si>
    <t>I/EDC</t>
  </si>
  <si>
    <t>R/EDC</t>
  </si>
  <si>
    <t>Status</t>
  </si>
  <si>
    <t>Finished</t>
  </si>
  <si>
    <t>Remarks</t>
  </si>
  <si>
    <t>T008</t>
  </si>
  <si>
    <t>PU AON of Training on Cumminus DAs</t>
  </si>
  <si>
    <t>BU002</t>
  </si>
  <si>
    <t>Open</t>
  </si>
  <si>
    <t>LCY</t>
  </si>
  <si>
    <t>Progress</t>
  </si>
  <si>
    <t>SDK</t>
  </si>
  <si>
    <t>Waiting</t>
  </si>
  <si>
    <t>RTS</t>
  </si>
  <si>
    <t xml:space="preserve">Status </t>
  </si>
  <si>
    <t>Code</t>
  </si>
  <si>
    <t>Description</t>
  </si>
  <si>
    <t>Open, but not started</t>
  </si>
  <si>
    <t>Top</t>
  </si>
  <si>
    <t xml:space="preserve">Sudhir Kumar, P/Nvk(R) </t>
  </si>
  <si>
    <t>Work in Progress</t>
  </si>
  <si>
    <t>Medium</t>
  </si>
  <si>
    <t>LC Yadav, P/Adh(P)</t>
  </si>
  <si>
    <t>Waiting from others</t>
  </si>
  <si>
    <t>MPY</t>
  </si>
  <si>
    <t>MP Yadav,P/Adh(R)</t>
  </si>
  <si>
    <t>Hold</t>
  </si>
  <si>
    <t>Low</t>
  </si>
  <si>
    <t>RTO(TS)</t>
  </si>
  <si>
    <t>Closed</t>
  </si>
  <si>
    <t>Work completed</t>
  </si>
  <si>
    <t>Other</t>
  </si>
  <si>
    <t xml:space="preserve">Notes ID </t>
  </si>
  <si>
    <t>Diary</t>
  </si>
  <si>
    <t>Diary Description</t>
  </si>
  <si>
    <t>Category</t>
  </si>
  <si>
    <t>Note Description</t>
  </si>
  <si>
    <t>Link ID</t>
  </si>
  <si>
    <t>T001</t>
  </si>
  <si>
    <t>T002</t>
  </si>
  <si>
    <t>T003</t>
  </si>
  <si>
    <t>T004</t>
  </si>
  <si>
    <t>T005</t>
  </si>
  <si>
    <t>T006</t>
  </si>
  <si>
    <t>T007</t>
  </si>
  <si>
    <t>T009</t>
  </si>
  <si>
    <t>T010</t>
  </si>
  <si>
    <t>Sl.</t>
  </si>
  <si>
    <t>Title</t>
  </si>
  <si>
    <t>Type</t>
  </si>
  <si>
    <t>Type (Article)</t>
  </si>
  <si>
    <t>Letter</t>
  </si>
  <si>
    <t>Fax</t>
  </si>
  <si>
    <t>Email</t>
  </si>
  <si>
    <t>Unit</t>
  </si>
  <si>
    <t>Station</t>
  </si>
  <si>
    <t>U062</t>
  </si>
  <si>
    <t>CG RHQ(NW)</t>
  </si>
  <si>
    <t>Gandhinagar</t>
  </si>
  <si>
    <t>U006</t>
  </si>
  <si>
    <t>ICGS Ankit</t>
  </si>
  <si>
    <t>Porbandar</t>
  </si>
  <si>
    <t>U007</t>
  </si>
  <si>
    <t>ICGS Arush</t>
  </si>
  <si>
    <t>U030</t>
  </si>
  <si>
    <t>ICGS Arinjay</t>
  </si>
  <si>
    <t>Okha</t>
  </si>
  <si>
    <t>U031</t>
  </si>
  <si>
    <t>ICGS Abheek</t>
  </si>
  <si>
    <t>U022</t>
  </si>
  <si>
    <t>ICGS C-149</t>
  </si>
  <si>
    <t>Veraval</t>
  </si>
  <si>
    <t>U023</t>
  </si>
  <si>
    <t>ICGS C-153</t>
  </si>
  <si>
    <t>U057</t>
  </si>
  <si>
    <t>ICGS C-143</t>
  </si>
  <si>
    <t>Vadinar</t>
  </si>
  <si>
    <t>U058</t>
  </si>
  <si>
    <t>ICGS C-152</t>
  </si>
  <si>
    <t>U010</t>
  </si>
  <si>
    <t>ICGS C-156</t>
  </si>
  <si>
    <t>U011</t>
  </si>
  <si>
    <t>ICGS C-161</t>
  </si>
  <si>
    <t>U009</t>
  </si>
  <si>
    <t>ICGS C-445</t>
  </si>
  <si>
    <t>U017</t>
  </si>
  <si>
    <t>ICGS C-409</t>
  </si>
  <si>
    <t>Pipavav</t>
  </si>
  <si>
    <t>U018</t>
  </si>
  <si>
    <t>ICGS C-419</t>
  </si>
  <si>
    <t>U032</t>
  </si>
  <si>
    <t>ICGS C-411</t>
  </si>
  <si>
    <t>U033</t>
  </si>
  <si>
    <t>ICGS C-413</t>
  </si>
  <si>
    <t>U050</t>
  </si>
  <si>
    <t>ICGS C-408</t>
  </si>
  <si>
    <t>Jakhau</t>
  </si>
  <si>
    <t>U051</t>
  </si>
  <si>
    <t>ICGS C-429</t>
  </si>
  <si>
    <t>U052</t>
  </si>
  <si>
    <t>ICGS C-437</t>
  </si>
  <si>
    <t>U053</t>
  </si>
  <si>
    <t>ICGS C- 454</t>
  </si>
  <si>
    <t>U008</t>
  </si>
  <si>
    <t>ICGS Rajratan</t>
  </si>
  <si>
    <t>U003</t>
  </si>
  <si>
    <t>ICGS Shoor</t>
  </si>
  <si>
    <t>U004</t>
  </si>
  <si>
    <t>ICGS Sajag</t>
  </si>
  <si>
    <t>U005</t>
  </si>
  <si>
    <t>ICGS Sarthak</t>
  </si>
  <si>
    <t>U029</t>
  </si>
  <si>
    <t>ICGS Meera Behn</t>
  </si>
  <si>
    <t>U002</t>
  </si>
  <si>
    <t>ICGS Samudra Pavak</t>
  </si>
  <si>
    <t>U035</t>
  </si>
  <si>
    <t>ACV H-187</t>
  </si>
  <si>
    <t>U036</t>
  </si>
  <si>
    <t>ACV H-189</t>
  </si>
  <si>
    <t>U037</t>
  </si>
  <si>
    <t>ACV H-191</t>
  </si>
  <si>
    <t>U046</t>
  </si>
  <si>
    <t>ACV H-184</t>
  </si>
  <si>
    <t>U047</t>
  </si>
  <si>
    <t>ACV H-185</t>
  </si>
  <si>
    <t>U048</t>
  </si>
  <si>
    <t>ACV H-196</t>
  </si>
  <si>
    <t>U049</t>
  </si>
  <si>
    <t xml:space="preserve">ACV H-198 </t>
  </si>
  <si>
    <t>U034</t>
  </si>
  <si>
    <t>69 ACV SQN</t>
  </si>
  <si>
    <t>U045</t>
  </si>
  <si>
    <t>68 ACV SQN</t>
  </si>
  <si>
    <t>U012</t>
  </si>
  <si>
    <t>CGAE Porbandar</t>
  </si>
  <si>
    <t>U001</t>
  </si>
  <si>
    <t xml:space="preserve">CGDHQ-1  </t>
  </si>
  <si>
    <t>U028</t>
  </si>
  <si>
    <t>CGDHQ-15</t>
  </si>
  <si>
    <t>U038</t>
  </si>
  <si>
    <t>HMU Okha</t>
  </si>
  <si>
    <t>U040</t>
  </si>
  <si>
    <t>ICGS C-401</t>
  </si>
  <si>
    <t>Mundra</t>
  </si>
  <si>
    <t>U041</t>
  </si>
  <si>
    <t>ICGS C-403</t>
  </si>
  <si>
    <t>U019</t>
  </si>
  <si>
    <t>IC-111</t>
  </si>
  <si>
    <t>U020</t>
  </si>
  <si>
    <t>IC-112</t>
  </si>
  <si>
    <t>U024</t>
  </si>
  <si>
    <t>IC-121</t>
  </si>
  <si>
    <t>U025</t>
  </si>
  <si>
    <t>IC-122</t>
  </si>
  <si>
    <t>U042</t>
  </si>
  <si>
    <t>IC-303</t>
  </si>
  <si>
    <t>U043</t>
  </si>
  <si>
    <t>IC-304</t>
  </si>
  <si>
    <t>U054</t>
  </si>
  <si>
    <t>IC-125</t>
  </si>
  <si>
    <t>U055</t>
  </si>
  <si>
    <t>IC-126</t>
  </si>
  <si>
    <t>U059</t>
  </si>
  <si>
    <t>IC-110</t>
  </si>
  <si>
    <t>U060</t>
  </si>
  <si>
    <t>IC-113</t>
  </si>
  <si>
    <t>U061</t>
  </si>
  <si>
    <t>PRT(NW) Vadinar</t>
  </si>
  <si>
    <t>U027</t>
  </si>
  <si>
    <t>CGRPT (Surat)</t>
  </si>
  <si>
    <t>Surat</t>
  </si>
  <si>
    <t>U026</t>
  </si>
  <si>
    <t>SRMO</t>
  </si>
  <si>
    <t>MS ID</t>
  </si>
  <si>
    <t>Milestone Description</t>
  </si>
  <si>
    <t>MS01-0</t>
  </si>
  <si>
    <t>Meeting at RHQ(NW) chaired by CSO(Tech)</t>
  </si>
  <si>
    <t>Present Status</t>
  </si>
  <si>
    <t>MS02-0</t>
  </si>
  <si>
    <t>Installation of FOG at Arush</t>
  </si>
  <si>
    <t>DY001</t>
  </si>
  <si>
    <t>DY002</t>
  </si>
  <si>
    <t>DY003</t>
  </si>
  <si>
    <t>DY004</t>
  </si>
  <si>
    <t>DY005</t>
  </si>
  <si>
    <t>DY006</t>
  </si>
  <si>
    <t>DY007</t>
  </si>
  <si>
    <t>DY008</t>
  </si>
  <si>
    <t>DY009</t>
  </si>
  <si>
    <t>DY010</t>
  </si>
  <si>
    <t>DY011</t>
  </si>
  <si>
    <t>DY012</t>
  </si>
  <si>
    <t>DY013</t>
  </si>
  <si>
    <t>DY014</t>
  </si>
  <si>
    <t>DY015</t>
  </si>
  <si>
    <t>DY016</t>
  </si>
  <si>
    <t>DY017</t>
  </si>
  <si>
    <t>DY018</t>
  </si>
  <si>
    <t>DY019</t>
  </si>
  <si>
    <t>DY020</t>
  </si>
  <si>
    <t>Pomodora sheet added(0.4-pom)</t>
  </si>
  <si>
    <t>Pomo</t>
  </si>
  <si>
    <t>EDC</t>
  </si>
  <si>
    <r>
      <t>Pomodora sheet deleted. "Pomo" col. added,"Eff. In hrs format to hh:mm, "Pomo" calculation "</t>
    </r>
    <r>
      <rPr>
        <i/>
        <sz val="11"/>
        <color theme="1"/>
        <rFont val="Calibri"/>
        <family val="2"/>
        <scheme val="minor"/>
      </rPr>
      <t>=Ceiling((Eff. In hrs * 60 * 24)/25,1)</t>
    </r>
    <r>
      <rPr>
        <sz val="11"/>
        <color theme="1"/>
        <rFont val="Calibri"/>
        <family val="2"/>
        <scheme val="minor"/>
      </rPr>
      <t>"</t>
    </r>
  </si>
  <si>
    <t>Term ID</t>
  </si>
  <si>
    <t>Term/ Abbr.</t>
  </si>
  <si>
    <t>Link</t>
  </si>
  <si>
    <t>OWASP</t>
  </si>
  <si>
    <t>Open Worldwide Application Security Project</t>
  </si>
  <si>
    <t>Malware</t>
  </si>
  <si>
    <t>A software intentionally designed to cause damage</t>
  </si>
  <si>
    <t>Terminology sheet added (9-terms)</t>
  </si>
  <si>
    <t>Lag</t>
  </si>
  <si>
    <t>QnA ID</t>
  </si>
  <si>
    <t>Subject</t>
  </si>
  <si>
    <t>QnA Description</t>
  </si>
  <si>
    <t>Flask</t>
  </si>
  <si>
    <t>Explain if __name__ == "__main__"</t>
  </si>
  <si>
    <t>The condition checks whether the current file is the main program entry point, Preventing Unwanted Code Execution on Import</t>
  </si>
  <si>
    <t>Question and Answer sheet added (8-qna)</t>
  </si>
  <si>
    <t>Step ID</t>
  </si>
  <si>
    <t>Steps Description</t>
  </si>
  <si>
    <t>Pre-Requisites</t>
  </si>
  <si>
    <t>Expected Outcome</t>
  </si>
  <si>
    <t>S01-0</t>
  </si>
  <si>
    <t>Step-by-Step sheet added (4.1-steps), Renamed 4-milestones to 4.1</t>
  </si>
  <si>
    <t>Source</t>
  </si>
  <si>
    <t>LUD</t>
  </si>
  <si>
    <t>Pseudo ID</t>
  </si>
  <si>
    <t>P01-0</t>
  </si>
  <si>
    <t>Pseudo Steps Description</t>
  </si>
  <si>
    <t>Pseudocode sheet added (4.2-pseudo)</t>
  </si>
  <si>
    <t>Deepseek</t>
  </si>
  <si>
    <t>R01-0</t>
  </si>
  <si>
    <t>N01-0</t>
  </si>
  <si>
    <t>N02-0</t>
  </si>
  <si>
    <t>QA01-0</t>
  </si>
  <si>
    <t>QA02-0</t>
  </si>
  <si>
    <t>Cmd ID</t>
  </si>
  <si>
    <t>Command</t>
  </si>
  <si>
    <t>Command Example</t>
  </si>
  <si>
    <t>Result Description</t>
  </si>
  <si>
    <t>CM01</t>
  </si>
  <si>
    <r>
      <t xml:space="preserve">git  init </t>
    </r>
    <r>
      <rPr>
        <i/>
        <sz val="11"/>
        <color theme="1"/>
        <rFont val="Calibri"/>
        <family val="2"/>
        <scheme val="minor"/>
      </rPr>
      <t>&lt;directory&gt;</t>
    </r>
  </si>
  <si>
    <t>Init</t>
  </si>
  <si>
    <r>
      <t xml:space="preserve">git init </t>
    </r>
    <r>
      <rPr>
        <i/>
        <sz val="11"/>
        <color theme="1"/>
        <rFont val="Calibri"/>
        <family val="2"/>
        <scheme val="minor"/>
      </rPr>
      <t>xtest</t>
    </r>
  </si>
  <si>
    <t xml:space="preserve">Create an empty Git repository in the specified directory. </t>
  </si>
  <si>
    <t>Web</t>
  </si>
  <si>
    <t>CM02</t>
  </si>
  <si>
    <t>PS&gt; cd &lt;local_repo&gt;</t>
  </si>
  <si>
    <r>
      <t xml:space="preserve">PS&gt; cd </t>
    </r>
    <r>
      <rPr>
        <i/>
        <sz val="11"/>
        <color theme="1"/>
        <rFont val="Calibri"/>
        <family val="2"/>
        <scheme val="minor"/>
      </rPr>
      <t>xtest</t>
    </r>
  </si>
  <si>
    <t>Change to local repo working directory</t>
  </si>
  <si>
    <t>Added 8-cmd sheet</t>
  </si>
  <si>
    <t>Sub Category</t>
  </si>
  <si>
    <t>Notes</t>
  </si>
  <si>
    <t>Terms</t>
  </si>
  <si>
    <t>T01-0</t>
  </si>
  <si>
    <t>TM01-0</t>
  </si>
  <si>
    <t>TM02-0</t>
  </si>
  <si>
    <t>AID</t>
  </si>
  <si>
    <t>OD</t>
  </si>
  <si>
    <t>NID</t>
  </si>
  <si>
    <t>Update manifest - AvnSnip.psd1</t>
  </si>
  <si>
    <t>Update module - AvnSnip.psm1</t>
  </si>
  <si>
    <t>Update Public script - New-Snip.ps1</t>
  </si>
  <si>
    <t>Update Private helper script - _InitSnip.ps1</t>
  </si>
  <si>
    <t>Update Test script - Test-NewSnip.ps1</t>
  </si>
  <si>
    <t>Structure</t>
  </si>
  <si>
    <t>Manifest</t>
  </si>
  <si>
    <t>Module</t>
  </si>
  <si>
    <t>Public</t>
  </si>
  <si>
    <t>Private</t>
  </si>
  <si>
    <t>S02-0</t>
  </si>
  <si>
    <t>S03-0</t>
  </si>
  <si>
    <t>S04-0</t>
  </si>
  <si>
    <t>S05-0</t>
  </si>
  <si>
    <t>S06-0</t>
  </si>
  <si>
    <t>Test</t>
  </si>
  <si>
    <t>Create directory structure for module</t>
  </si>
  <si>
    <t>Snip</t>
  </si>
  <si>
    <t xml:space="preserve">1. Based on </t>
  </si>
  <si>
    <t>Ref. ID</t>
  </si>
  <si>
    <t>Reference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</si>
</sst>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CC"/>
      <name val="Calibri"/>
      <family val="2"/>
      <scheme val="minor"/>
    </font>
    <font>
      <sz val="11"/>
      <name val="Calibri"/>
      <family val="2"/>
      <scheme val="minor"/>
    </font>
    <font>
      <sz val="11"/>
      <color rgb="FF0000CC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00CC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9">
    <xf numFmtId="0" fontId="0" fillId="0" borderId="0" xfId="0"/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5" fillId="0" borderId="0" xfId="0" applyFont="1" applyAlignment="1">
      <alignment horizontal="center" vertical="top"/>
    </xf>
    <xf numFmtId="15" fontId="0" fillId="0" borderId="0" xfId="0" applyNumberFormat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5" fontId="2" fillId="2" borderId="0" xfId="0" applyNumberFormat="1" applyFont="1" applyFill="1" applyAlignment="1">
      <alignment vertical="top"/>
    </xf>
    <xf numFmtId="0" fontId="2" fillId="0" borderId="0" xfId="0" applyFont="1" applyAlignment="1">
      <alignment vertical="top" wrapText="1"/>
    </xf>
    <xf numFmtId="15" fontId="0" fillId="0" borderId="0" xfId="0" applyNumberFormat="1" applyAlignment="1">
      <alignment vertical="top" wrapText="1"/>
    </xf>
    <xf numFmtId="0" fontId="2" fillId="3" borderId="0" xfId="0" applyFont="1" applyFill="1" applyAlignment="1">
      <alignment vertical="top" wrapText="1"/>
    </xf>
    <xf numFmtId="15" fontId="2" fillId="3" borderId="0" xfId="0" applyNumberFormat="1" applyFont="1" applyFill="1" applyAlignment="1">
      <alignment vertical="top" wrapText="1"/>
    </xf>
    <xf numFmtId="0" fontId="8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15" fontId="2" fillId="2" borderId="0" xfId="0" applyNumberFormat="1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2" fillId="3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20" fontId="4" fillId="2" borderId="0" xfId="0" applyNumberFormat="1" applyFont="1" applyFill="1" applyAlignment="1">
      <alignment horizontal="center" vertical="top"/>
    </xf>
    <xf numFmtId="1" fontId="4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vertical="top"/>
    </xf>
    <xf numFmtId="20" fontId="6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15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4" borderId="0" xfId="0" applyFont="1" applyFill="1" applyAlignment="1">
      <alignment vertical="top"/>
    </xf>
    <xf numFmtId="0" fontId="9" fillId="4" borderId="0" xfId="0" applyFont="1" applyFill="1" applyAlignment="1">
      <alignment horizontal="center" vertical="top"/>
    </xf>
    <xf numFmtId="0" fontId="9" fillId="4" borderId="0" xfId="0" applyFont="1" applyFill="1" applyAlignment="1">
      <alignment vertical="top" wrapText="1"/>
    </xf>
    <xf numFmtId="20" fontId="9" fillId="4" borderId="0" xfId="0" applyNumberFormat="1" applyFont="1" applyFill="1" applyAlignment="1">
      <alignment horizontal="center" vertical="top"/>
    </xf>
    <xf numFmtId="1" fontId="9" fillId="4" borderId="0" xfId="0" applyNumberFormat="1" applyFont="1" applyFill="1" applyAlignment="1">
      <alignment horizontal="center" vertical="top"/>
    </xf>
    <xf numFmtId="0" fontId="9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20" fontId="5" fillId="0" borderId="0" xfId="0" applyNumberFormat="1" applyFont="1" applyAlignment="1">
      <alignment horizontal="center" vertical="top"/>
    </xf>
    <xf numFmtId="1" fontId="5" fillId="0" borderId="0" xfId="0" applyNumberFormat="1" applyFont="1" applyAlignment="1">
      <alignment horizontal="center" vertical="top"/>
    </xf>
    <xf numFmtId="0" fontId="2" fillId="5" borderId="0" xfId="0" applyFont="1" applyFill="1" applyAlignment="1">
      <alignment horizontal="center" vertical="top"/>
    </xf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11" fillId="0" borderId="0" xfId="1" applyAlignment="1">
      <alignment vertical="top"/>
    </xf>
    <xf numFmtId="0" fontId="4" fillId="2" borderId="0" xfId="0" applyFont="1" applyFill="1" applyAlignment="1">
      <alignment vertical="top"/>
    </xf>
    <xf numFmtId="15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1" fontId="3" fillId="2" borderId="0" xfId="0" applyNumberFormat="1" applyFont="1" applyFill="1" applyAlignment="1">
      <alignment horizontal="center" vertical="top"/>
    </xf>
    <xf numFmtId="1" fontId="1" fillId="0" borderId="0" xfId="0" applyNumberFormat="1" applyFont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0" fontId="2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top"/>
    </xf>
    <xf numFmtId="0" fontId="2" fillId="7" borderId="0" xfId="0" applyFont="1" applyFill="1" applyAlignment="1">
      <alignment vertical="top" wrapText="1"/>
    </xf>
    <xf numFmtId="0" fontId="3" fillId="7" borderId="0" xfId="0" applyFont="1" applyFill="1" applyAlignment="1">
      <alignment vertical="top" wrapText="1"/>
    </xf>
    <xf numFmtId="0" fontId="9" fillId="7" borderId="0" xfId="0" applyFont="1" applyFill="1" applyAlignment="1">
      <alignment vertical="top" wrapText="1"/>
    </xf>
    <xf numFmtId="15" fontId="2" fillId="5" borderId="0" xfId="0" applyNumberFormat="1" applyFont="1" applyFill="1" applyAlignment="1">
      <alignment vertical="top"/>
    </xf>
    <xf numFmtId="15" fontId="2" fillId="7" borderId="0" xfId="0" applyNumberFormat="1" applyFont="1" applyFill="1" applyAlignment="1">
      <alignment vertical="top" wrapText="1"/>
    </xf>
    <xf numFmtId="0" fontId="2" fillId="7" borderId="0" xfId="0" applyFont="1" applyFill="1" applyAlignment="1">
      <alignment horizontal="center" vertical="top" wrapText="1"/>
    </xf>
    <xf numFmtId="15" fontId="2" fillId="6" borderId="0" xfId="0" applyNumberFormat="1" applyFont="1" applyFill="1" applyAlignment="1">
      <alignment vertical="top"/>
    </xf>
    <xf numFmtId="15" fontId="2" fillId="5" borderId="0" xfId="0" applyNumberFormat="1" applyFont="1" applyFill="1" applyAlignment="1">
      <alignment horizontal="center" vertical="top"/>
    </xf>
    <xf numFmtId="15" fontId="0" fillId="0" borderId="0" xfId="0" applyNumberFormat="1" applyAlignment="1">
      <alignment horizontal="center" vertical="top"/>
    </xf>
    <xf numFmtId="0" fontId="9" fillId="5" borderId="0" xfId="0" applyFont="1" applyFill="1" applyAlignment="1">
      <alignment horizontal="center" vertical="top"/>
    </xf>
    <xf numFmtId="0" fontId="5" fillId="0" borderId="0" xfId="1" applyFont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lassian.com/git/tutorials/setting-up-a-repository/git-ini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G3"/>
  <sheetViews>
    <sheetView workbookViewId="0">
      <pane ySplit="1" topLeftCell="A2" activePane="bottomLeft" state="frozen"/>
      <selection pane="bottomLeft" activeCell="C2" sqref="C2"/>
    </sheetView>
  </sheetViews>
  <sheetFormatPr defaultColWidth="9.140625" defaultRowHeight="15" x14ac:dyDescent="0.25"/>
  <cols>
    <col min="1" max="1" width="8.85546875" style="29" customWidth="1"/>
    <col min="2" max="2" width="14.5703125" style="12" customWidth="1"/>
    <col min="3" max="3" width="61.5703125" style="12" customWidth="1"/>
    <col min="4" max="4" width="26.140625" style="12" customWidth="1"/>
    <col min="5" max="5" width="10.28515625" style="12" customWidth="1"/>
    <col min="6" max="6" width="6.7109375" style="29" customWidth="1"/>
    <col min="7" max="7" width="10.42578125" style="19" customWidth="1"/>
    <col min="8" max="16384" width="9.140625" style="12"/>
  </cols>
  <sheetData>
    <row r="1" spans="1:7" s="18" customFormat="1" x14ac:dyDescent="0.25">
      <c r="A1" s="28" t="s">
        <v>39</v>
      </c>
      <c r="B1" s="20" t="s">
        <v>42</v>
      </c>
      <c r="C1" s="20" t="s">
        <v>43</v>
      </c>
      <c r="D1" s="20" t="s">
        <v>260</v>
      </c>
      <c r="E1" s="20" t="s">
        <v>44</v>
      </c>
      <c r="F1" s="28" t="s">
        <v>262</v>
      </c>
      <c r="G1" s="21" t="s">
        <v>234</v>
      </c>
    </row>
    <row r="2" spans="1:7" x14ac:dyDescent="0.25">
      <c r="A2" s="29" t="s">
        <v>241</v>
      </c>
      <c r="B2" s="12" t="s">
        <v>274</v>
      </c>
      <c r="C2" s="12" t="s">
        <v>287</v>
      </c>
      <c r="D2" s="12" t="s">
        <v>286</v>
      </c>
      <c r="F2" s="29" t="s">
        <v>263</v>
      </c>
      <c r="G2" s="19">
        <v>45948</v>
      </c>
    </row>
    <row r="3" spans="1:7" x14ac:dyDescent="0.25">
      <c r="A3" s="29" t="s">
        <v>242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E21"/>
  <sheetViews>
    <sheetView workbookViewId="0">
      <pane ySplit="1" topLeftCell="A2" activePane="bottomLeft" state="frozen"/>
      <selection pane="bottomLeft" activeCell="C9" sqref="C9"/>
    </sheetView>
  </sheetViews>
  <sheetFormatPr defaultColWidth="8.7109375" defaultRowHeight="15" x14ac:dyDescent="0.25"/>
  <cols>
    <col min="1" max="1" width="8.7109375" style="7"/>
    <col min="2" max="2" width="10" style="10" customWidth="1"/>
    <col min="3" max="3" width="67.140625" style="12" customWidth="1"/>
    <col min="4" max="4" width="9.7109375" style="7" customWidth="1"/>
    <col min="5" max="5" width="23.85546875" style="8" customWidth="1"/>
    <col min="6" max="16384" width="8.7109375" style="8"/>
  </cols>
  <sheetData>
    <row r="1" spans="1:5" s="6" customFormat="1" x14ac:dyDescent="0.25">
      <c r="A1" s="1" t="s">
        <v>40</v>
      </c>
      <c r="B1" s="17" t="s">
        <v>2</v>
      </c>
      <c r="C1" s="2" t="s">
        <v>41</v>
      </c>
      <c r="D1" s="1" t="s">
        <v>44</v>
      </c>
      <c r="E1" s="3" t="s">
        <v>11</v>
      </c>
    </row>
    <row r="2" spans="1:5" x14ac:dyDescent="0.25">
      <c r="A2" s="7" t="s">
        <v>187</v>
      </c>
      <c r="B2" s="10">
        <v>45453</v>
      </c>
      <c r="C2" s="12" t="s">
        <v>207</v>
      </c>
    </row>
    <row r="3" spans="1:5" ht="30" x14ac:dyDescent="0.25">
      <c r="A3" s="7" t="s">
        <v>188</v>
      </c>
      <c r="B3" s="10">
        <v>45496</v>
      </c>
      <c r="C3" s="12" t="s">
        <v>210</v>
      </c>
    </row>
    <row r="4" spans="1:5" x14ac:dyDescent="0.25">
      <c r="A4" s="7" t="s">
        <v>189</v>
      </c>
      <c r="B4" s="10">
        <v>45575</v>
      </c>
      <c r="C4" s="12" t="s">
        <v>218</v>
      </c>
    </row>
    <row r="5" spans="1:5" x14ac:dyDescent="0.25">
      <c r="A5" s="7" t="s">
        <v>190</v>
      </c>
      <c r="B5" s="10">
        <v>45759</v>
      </c>
      <c r="C5" s="12" t="s">
        <v>226</v>
      </c>
    </row>
    <row r="6" spans="1:5" x14ac:dyDescent="0.25">
      <c r="A6" s="7" t="s">
        <v>191</v>
      </c>
      <c r="B6" s="10">
        <v>45760</v>
      </c>
      <c r="C6" s="12" t="s">
        <v>232</v>
      </c>
    </row>
    <row r="7" spans="1:5" x14ac:dyDescent="0.25">
      <c r="A7" s="7" t="s">
        <v>192</v>
      </c>
      <c r="B7" s="10">
        <v>45760</v>
      </c>
      <c r="C7" s="12" t="s">
        <v>238</v>
      </c>
    </row>
    <row r="8" spans="1:5" x14ac:dyDescent="0.25">
      <c r="A8" s="7" t="s">
        <v>193</v>
      </c>
      <c r="B8" s="10">
        <v>45924</v>
      </c>
      <c r="C8" s="12" t="s">
        <v>259</v>
      </c>
    </row>
    <row r="9" spans="1:5" x14ac:dyDescent="0.25">
      <c r="A9" s="7" t="s">
        <v>194</v>
      </c>
    </row>
    <row r="10" spans="1:5" x14ac:dyDescent="0.25">
      <c r="A10" s="7" t="s">
        <v>195</v>
      </c>
    </row>
    <row r="11" spans="1:5" x14ac:dyDescent="0.25">
      <c r="A11" s="7" t="s">
        <v>196</v>
      </c>
    </row>
    <row r="12" spans="1:5" x14ac:dyDescent="0.25">
      <c r="A12" s="7" t="s">
        <v>197</v>
      </c>
    </row>
    <row r="13" spans="1:5" x14ac:dyDescent="0.25">
      <c r="A13" s="7" t="s">
        <v>198</v>
      </c>
    </row>
    <row r="14" spans="1:5" x14ac:dyDescent="0.25">
      <c r="A14" s="7" t="s">
        <v>199</v>
      </c>
    </row>
    <row r="15" spans="1:5" x14ac:dyDescent="0.25">
      <c r="A15" s="7" t="s">
        <v>200</v>
      </c>
    </row>
    <row r="16" spans="1:5" x14ac:dyDescent="0.25">
      <c r="A16" s="7" t="s">
        <v>201</v>
      </c>
    </row>
    <row r="17" spans="1:1" x14ac:dyDescent="0.25">
      <c r="A17" s="7" t="s">
        <v>202</v>
      </c>
    </row>
    <row r="18" spans="1:1" x14ac:dyDescent="0.25">
      <c r="A18" s="7" t="s">
        <v>203</v>
      </c>
    </row>
    <row r="19" spans="1:1" x14ac:dyDescent="0.25">
      <c r="A19" s="7" t="s">
        <v>204</v>
      </c>
    </row>
    <row r="20" spans="1:1" x14ac:dyDescent="0.25">
      <c r="A20" s="7" t="s">
        <v>205</v>
      </c>
    </row>
    <row r="21" spans="1:1" x14ac:dyDescent="0.25">
      <c r="A21" s="7" t="s">
        <v>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2069-7F3D-4288-929A-1A67E3E40B71}">
  <sheetPr>
    <tabColor rgb="FFFFFF00"/>
  </sheetPr>
  <dimension ref="A1:O11"/>
  <sheetViews>
    <sheetView zoomScaleNormal="100" workbookViewId="0">
      <pane ySplit="1" topLeftCell="A2" activePane="bottomLeft" state="frozen"/>
      <selection pane="bottomLeft" activeCell="B7" sqref="B7"/>
    </sheetView>
  </sheetViews>
  <sheetFormatPr defaultColWidth="8.7109375" defaultRowHeight="15" x14ac:dyDescent="0.25"/>
  <cols>
    <col min="1" max="1" width="8.7109375" style="7"/>
    <col min="2" max="2" width="56" style="12" customWidth="1"/>
    <col min="3" max="3" width="9.85546875" style="8" bestFit="1" customWidth="1"/>
    <col min="4" max="4" width="9.85546875" style="52" customWidth="1"/>
    <col min="5" max="5" width="5.85546875" style="54" customWidth="1"/>
    <col min="6" max="6" width="10.5703125" style="11" customWidth="1"/>
    <col min="7" max="7" width="8.7109375" style="7"/>
    <col min="8" max="8" width="8.7109375" style="7" customWidth="1"/>
    <col min="9" max="10" width="7.85546875" style="9" customWidth="1"/>
    <col min="11" max="11" width="8.7109375" style="33" customWidth="1"/>
    <col min="12" max="12" width="8.7109375" style="34" customWidth="1"/>
    <col min="13" max="13" width="9.85546875" style="36" customWidth="1"/>
    <col min="14" max="14" width="9.85546875" style="8" bestFit="1" customWidth="1"/>
    <col min="15" max="15" width="19.5703125" style="8" customWidth="1"/>
    <col min="16" max="16384" width="8.7109375" style="8"/>
  </cols>
  <sheetData>
    <row r="1" spans="1:15" s="6" customFormat="1" x14ac:dyDescent="0.25">
      <c r="A1" s="1" t="s">
        <v>0</v>
      </c>
      <c r="B1" s="2" t="s">
        <v>1</v>
      </c>
      <c r="C1" s="3" t="s">
        <v>2</v>
      </c>
      <c r="D1" s="50" t="s">
        <v>209</v>
      </c>
      <c r="E1" s="53" t="s">
        <v>219</v>
      </c>
      <c r="F1" s="5" t="s">
        <v>9</v>
      </c>
      <c r="G1" s="1" t="s">
        <v>44</v>
      </c>
      <c r="H1" s="1" t="s">
        <v>3</v>
      </c>
      <c r="I1" s="4" t="s">
        <v>4</v>
      </c>
      <c r="J1" s="1" t="s">
        <v>5</v>
      </c>
      <c r="K1" s="30" t="s">
        <v>6</v>
      </c>
      <c r="L1" s="31" t="s">
        <v>208</v>
      </c>
      <c r="M1" s="32" t="s">
        <v>7</v>
      </c>
      <c r="N1" s="3" t="s">
        <v>10</v>
      </c>
      <c r="O1" s="3" t="s">
        <v>11</v>
      </c>
    </row>
    <row r="2" spans="1:15" x14ac:dyDescent="0.25">
      <c r="A2" s="7" t="s">
        <v>45</v>
      </c>
      <c r="B2" s="12" t="s">
        <v>13</v>
      </c>
      <c r="D2" s="51">
        <v>44864</v>
      </c>
      <c r="E2" s="54">
        <f>D2-M2</f>
        <v>61</v>
      </c>
      <c r="F2" s="11" t="s">
        <v>15</v>
      </c>
      <c r="G2" s="7" t="s">
        <v>14</v>
      </c>
      <c r="I2" s="9">
        <v>3</v>
      </c>
      <c r="J2" s="9" t="s">
        <v>18</v>
      </c>
      <c r="K2" s="33">
        <v>2.0833333333333332E-2</v>
      </c>
      <c r="L2" s="34">
        <f>CEILING((K2*60*24)/25,1)</f>
        <v>2</v>
      </c>
      <c r="M2" s="35">
        <v>44803</v>
      </c>
    </row>
    <row r="3" spans="1:15" x14ac:dyDescent="0.25">
      <c r="A3" s="7" t="s">
        <v>46</v>
      </c>
      <c r="C3" s="10"/>
      <c r="M3" s="35"/>
    </row>
    <row r="4" spans="1:15" x14ac:dyDescent="0.25">
      <c r="A4" s="7" t="s">
        <v>47</v>
      </c>
      <c r="C4" s="10"/>
    </row>
    <row r="5" spans="1:15" x14ac:dyDescent="0.25">
      <c r="A5" s="7" t="s">
        <v>48</v>
      </c>
      <c r="C5" s="10"/>
    </row>
    <row r="6" spans="1:15" x14ac:dyDescent="0.25">
      <c r="A6" s="7" t="s">
        <v>49</v>
      </c>
      <c r="C6" s="10"/>
    </row>
    <row r="7" spans="1:15" x14ac:dyDescent="0.25">
      <c r="A7" s="7" t="s">
        <v>50</v>
      </c>
      <c r="C7" s="10"/>
      <c r="D7" s="51"/>
      <c r="M7" s="35"/>
    </row>
    <row r="8" spans="1:15" x14ac:dyDescent="0.25">
      <c r="A8" s="7" t="s">
        <v>51</v>
      </c>
      <c r="C8" s="10"/>
      <c r="M8" s="35"/>
    </row>
    <row r="9" spans="1:15" x14ac:dyDescent="0.25">
      <c r="A9" s="7" t="s">
        <v>12</v>
      </c>
    </row>
    <row r="10" spans="1:15" x14ac:dyDescent="0.25">
      <c r="A10" s="7" t="s">
        <v>52</v>
      </c>
    </row>
    <row r="11" spans="1:15" x14ac:dyDescent="0.25">
      <c r="A11" s="7" t="s">
        <v>53</v>
      </c>
    </row>
  </sheetData>
  <sheetProtection sheet="1" objects="1" scenarios="1"/>
  <pageMargins left="0.7" right="0.7" top="0.75" bottom="0.75" header="0.3" footer="0.3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I3"/>
  <sheetViews>
    <sheetView workbookViewId="0">
      <pane ySplit="1" topLeftCell="A2" activePane="bottomLeft" state="frozen"/>
      <selection pane="bottomLeft" activeCell="E27" sqref="E27"/>
    </sheetView>
  </sheetViews>
  <sheetFormatPr defaultColWidth="9.140625" defaultRowHeight="15" x14ac:dyDescent="0.25"/>
  <cols>
    <col min="1" max="1" width="9.140625" style="12"/>
    <col min="2" max="2" width="9.5703125" style="19" bestFit="1" customWidth="1"/>
    <col min="3" max="3" width="41" style="12" customWidth="1"/>
    <col min="4" max="4" width="41" style="27" customWidth="1"/>
    <col min="5" max="5" width="12.28515625" style="23" customWidth="1"/>
    <col min="6" max="6" width="9.5703125" style="19" bestFit="1" customWidth="1"/>
    <col min="7" max="7" width="9.140625" style="19"/>
    <col min="8" max="8" width="9.140625" style="12"/>
    <col min="9" max="9" width="21.85546875" style="12" customWidth="1"/>
    <col min="10" max="16384" width="9.140625" style="12"/>
  </cols>
  <sheetData>
    <row r="1" spans="1:9" s="18" customFormat="1" x14ac:dyDescent="0.25">
      <c r="A1" s="2" t="s">
        <v>180</v>
      </c>
      <c r="B1" s="25" t="s">
        <v>2</v>
      </c>
      <c r="C1" s="2" t="s">
        <v>181</v>
      </c>
      <c r="D1" s="26" t="s">
        <v>184</v>
      </c>
      <c r="E1" s="24" t="s">
        <v>9</v>
      </c>
      <c r="F1" s="25" t="s">
        <v>7</v>
      </c>
      <c r="G1" s="25" t="s">
        <v>8</v>
      </c>
      <c r="H1" s="2" t="s">
        <v>44</v>
      </c>
      <c r="I1" s="2" t="s">
        <v>11</v>
      </c>
    </row>
    <row r="2" spans="1:9" x14ac:dyDescent="0.25">
      <c r="A2" s="12" t="s">
        <v>182</v>
      </c>
      <c r="B2" s="19">
        <v>45036</v>
      </c>
      <c r="C2" s="12" t="s">
        <v>183</v>
      </c>
      <c r="E2" s="23" t="s">
        <v>17</v>
      </c>
      <c r="F2" s="19">
        <v>45036</v>
      </c>
    </row>
    <row r="3" spans="1:9" x14ac:dyDescent="0.25">
      <c r="A3" s="12" t="s">
        <v>185</v>
      </c>
      <c r="B3" s="19">
        <v>45036</v>
      </c>
      <c r="C3" s="12" t="s">
        <v>186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6D83-9B74-4A3F-85B5-265D118D5FC7}">
  <sheetPr>
    <tabColor theme="6" tint="-0.249977111117893"/>
  </sheetPr>
  <dimension ref="A1:L7"/>
  <sheetViews>
    <sheetView workbookViewId="0">
      <pane ySplit="1" topLeftCell="A2" activePane="bottomLeft" state="frozen"/>
      <selection pane="bottomLeft" activeCell="C3" sqref="C3"/>
    </sheetView>
  </sheetViews>
  <sheetFormatPr defaultColWidth="9.140625" defaultRowHeight="15" x14ac:dyDescent="0.25"/>
  <cols>
    <col min="1" max="1" width="9.140625" style="29"/>
    <col min="2" max="2" width="14" style="12" customWidth="1"/>
    <col min="3" max="3" width="52" style="12" customWidth="1"/>
    <col min="4" max="4" width="12.28515625" style="23" customWidth="1"/>
    <col min="5" max="5" width="24.5703125" style="43" customWidth="1"/>
    <col min="6" max="6" width="31.5703125" style="43" customWidth="1"/>
    <col min="7" max="7" width="9.140625" style="12"/>
    <col min="8" max="10" width="9.140625" style="29"/>
    <col min="11" max="11" width="10.5703125" style="19" customWidth="1"/>
    <col min="12" max="12" width="30.5703125" style="12" customWidth="1"/>
    <col min="13" max="16384" width="9.140625" style="12"/>
  </cols>
  <sheetData>
    <row r="1" spans="1:12" s="18" customFormat="1" x14ac:dyDescent="0.25">
      <c r="A1" s="63" t="s">
        <v>227</v>
      </c>
      <c r="B1" s="58" t="s">
        <v>42</v>
      </c>
      <c r="C1" s="58" t="s">
        <v>228</v>
      </c>
      <c r="D1" s="59" t="s">
        <v>9</v>
      </c>
      <c r="E1" s="60" t="s">
        <v>229</v>
      </c>
      <c r="F1" s="60" t="s">
        <v>230</v>
      </c>
      <c r="G1" s="58" t="s">
        <v>44</v>
      </c>
      <c r="H1" s="63" t="s">
        <v>266</v>
      </c>
      <c r="I1" s="63" t="s">
        <v>267</v>
      </c>
      <c r="J1" s="63" t="s">
        <v>268</v>
      </c>
      <c r="K1" s="62" t="s">
        <v>234</v>
      </c>
      <c r="L1" s="58" t="s">
        <v>11</v>
      </c>
    </row>
    <row r="2" spans="1:12" x14ac:dyDescent="0.25">
      <c r="A2" s="29" t="s">
        <v>231</v>
      </c>
      <c r="B2" s="12" t="s">
        <v>274</v>
      </c>
      <c r="C2" s="12" t="s">
        <v>285</v>
      </c>
      <c r="D2" s="23" t="s">
        <v>15</v>
      </c>
      <c r="K2" s="19">
        <v>45963</v>
      </c>
    </row>
    <row r="3" spans="1:12" x14ac:dyDescent="0.25">
      <c r="A3" s="29" t="s">
        <v>279</v>
      </c>
      <c r="B3" s="12" t="s">
        <v>275</v>
      </c>
      <c r="C3" s="12" t="s">
        <v>269</v>
      </c>
      <c r="D3" s="23" t="s">
        <v>15</v>
      </c>
      <c r="K3" s="19">
        <v>45963</v>
      </c>
    </row>
    <row r="4" spans="1:12" x14ac:dyDescent="0.25">
      <c r="A4" s="29" t="s">
        <v>280</v>
      </c>
      <c r="B4" s="12" t="s">
        <v>276</v>
      </c>
      <c r="C4" s="12" t="s">
        <v>270</v>
      </c>
      <c r="D4" s="23" t="s">
        <v>15</v>
      </c>
      <c r="K4" s="19">
        <v>45963</v>
      </c>
    </row>
    <row r="5" spans="1:12" x14ac:dyDescent="0.25">
      <c r="A5" s="29" t="s">
        <v>281</v>
      </c>
      <c r="B5" s="12" t="s">
        <v>277</v>
      </c>
      <c r="C5" s="12" t="s">
        <v>271</v>
      </c>
      <c r="D5" s="23" t="s">
        <v>15</v>
      </c>
      <c r="K5" s="19">
        <v>45963</v>
      </c>
    </row>
    <row r="6" spans="1:12" x14ac:dyDescent="0.25">
      <c r="A6" s="29" t="s">
        <v>282</v>
      </c>
      <c r="B6" s="12" t="s">
        <v>278</v>
      </c>
      <c r="C6" s="12" t="s">
        <v>272</v>
      </c>
      <c r="D6" s="23" t="s">
        <v>15</v>
      </c>
      <c r="K6" s="19">
        <v>45963</v>
      </c>
    </row>
    <row r="7" spans="1:12" x14ac:dyDescent="0.25">
      <c r="A7" s="29" t="s">
        <v>283</v>
      </c>
      <c r="B7" s="12" t="s">
        <v>284</v>
      </c>
      <c r="C7" s="12" t="s">
        <v>273</v>
      </c>
      <c r="D7" s="23" t="s">
        <v>15</v>
      </c>
      <c r="K7" s="19">
        <v>45963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3CD4-C893-45FB-8D3D-5F71F4AEB89A}">
  <sheetPr>
    <tabColor rgb="FF92D050"/>
  </sheetPr>
  <dimension ref="A1:I2"/>
  <sheetViews>
    <sheetView workbookViewId="0">
      <pane ySplit="1" topLeftCell="A2" activePane="bottomLeft" state="frozen"/>
      <selection pane="bottomLeft" activeCell="C7" sqref="C7"/>
    </sheetView>
  </sheetViews>
  <sheetFormatPr defaultColWidth="9.140625" defaultRowHeight="15" x14ac:dyDescent="0.25"/>
  <cols>
    <col min="1" max="1" width="10.7109375" style="29" customWidth="1"/>
    <col min="2" max="2" width="14" style="12" customWidth="1"/>
    <col min="3" max="3" width="43.5703125" style="12" customWidth="1"/>
    <col min="4" max="4" width="12.28515625" style="23" customWidth="1"/>
    <col min="5" max="5" width="24.5703125" style="43" customWidth="1"/>
    <col min="6" max="6" width="31.5703125" style="43" customWidth="1"/>
    <col min="7" max="7" width="9.140625" style="12"/>
    <col min="8" max="8" width="30.5703125" style="12" customWidth="1"/>
    <col min="9" max="9" width="10.140625" style="19" customWidth="1"/>
    <col min="10" max="16384" width="9.140625" style="12"/>
  </cols>
  <sheetData>
    <row r="1" spans="1:9" s="18" customFormat="1" x14ac:dyDescent="0.25">
      <c r="A1" s="63" t="s">
        <v>235</v>
      </c>
      <c r="B1" s="58" t="s">
        <v>42</v>
      </c>
      <c r="C1" s="58" t="s">
        <v>237</v>
      </c>
      <c r="D1" s="59" t="s">
        <v>9</v>
      </c>
      <c r="E1" s="60" t="s">
        <v>229</v>
      </c>
      <c r="F1" s="60" t="s">
        <v>230</v>
      </c>
      <c r="G1" s="58" t="s">
        <v>44</v>
      </c>
      <c r="H1" s="58" t="s">
        <v>11</v>
      </c>
      <c r="I1" s="62" t="s">
        <v>234</v>
      </c>
    </row>
    <row r="2" spans="1:9" x14ac:dyDescent="0.25">
      <c r="A2" s="29" t="s">
        <v>236</v>
      </c>
      <c r="D2" s="23" t="s">
        <v>17</v>
      </c>
      <c r="I2" s="19">
        <v>45760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2DE19-72AA-443D-A469-A7B05B81B3A6}">
  <sheetPr>
    <tabColor theme="9" tint="0.39997558519241921"/>
  </sheetPr>
  <dimension ref="A1:G3"/>
  <sheetViews>
    <sheetView workbookViewId="0">
      <pane ySplit="1" topLeftCell="A2" activePane="bottomLeft" state="frozen"/>
      <selection pane="bottomLeft" activeCell="C20" sqref="C20"/>
    </sheetView>
  </sheetViews>
  <sheetFormatPr defaultColWidth="8.7109375" defaultRowHeight="15" x14ac:dyDescent="0.25"/>
  <cols>
    <col min="1" max="1" width="8.7109375" style="7"/>
    <col min="2" max="2" width="11.5703125" style="7" customWidth="1"/>
    <col min="3" max="3" width="117.7109375" style="12" customWidth="1"/>
    <col min="4" max="4" width="9.7109375" style="7" customWidth="1"/>
    <col min="5" max="5" width="10.140625" style="7" customWidth="1"/>
    <col min="6" max="6" width="23.85546875" style="8" customWidth="1"/>
    <col min="7" max="7" width="9.85546875" style="10" customWidth="1"/>
    <col min="8" max="16384" width="8.7109375" style="8"/>
  </cols>
  <sheetData>
    <row r="1" spans="1:7" s="6" customFormat="1" x14ac:dyDescent="0.25">
      <c r="A1" s="55" t="s">
        <v>220</v>
      </c>
      <c r="B1" s="55" t="s">
        <v>221</v>
      </c>
      <c r="C1" s="56" t="s">
        <v>222</v>
      </c>
      <c r="D1" s="55" t="s">
        <v>44</v>
      </c>
      <c r="E1" s="55" t="s">
        <v>233</v>
      </c>
      <c r="F1" s="57" t="s">
        <v>11</v>
      </c>
      <c r="G1" s="64" t="s">
        <v>234</v>
      </c>
    </row>
    <row r="2" spans="1:7" x14ac:dyDescent="0.25">
      <c r="A2" s="7" t="s">
        <v>243</v>
      </c>
      <c r="B2" s="7" t="s">
        <v>223</v>
      </c>
      <c r="C2" s="18" t="s">
        <v>224</v>
      </c>
      <c r="E2" s="7" t="s">
        <v>239</v>
      </c>
      <c r="G2" s="10">
        <v>45760</v>
      </c>
    </row>
    <row r="3" spans="1:7" x14ac:dyDescent="0.25">
      <c r="A3" s="7" t="s">
        <v>244</v>
      </c>
      <c r="B3" s="7" t="s">
        <v>223</v>
      </c>
      <c r="C3" s="12" t="s">
        <v>225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3F952-01D0-4A9B-8A86-D38A835152C8}">
  <sheetPr>
    <tabColor rgb="FF0000CC"/>
  </sheetPr>
  <dimension ref="A1:H3"/>
  <sheetViews>
    <sheetView workbookViewId="0">
      <pane ySplit="1" topLeftCell="A2" activePane="bottomLeft" state="frozen"/>
      <selection pane="bottomLeft" activeCell="C10" sqref="C10"/>
    </sheetView>
  </sheetViews>
  <sheetFormatPr defaultColWidth="9.28515625" defaultRowHeight="15" x14ac:dyDescent="0.25"/>
  <cols>
    <col min="1" max="1" width="7.7109375" style="7" customWidth="1"/>
    <col min="2" max="2" width="37" style="12" customWidth="1"/>
    <col min="3" max="3" width="9.85546875" style="12" customWidth="1"/>
    <col min="4" max="4" width="58.42578125" style="12" customWidth="1"/>
    <col min="5" max="5" width="47.7109375" style="12" customWidth="1"/>
    <col min="6" max="6" width="11.28515625" style="8" customWidth="1"/>
    <col min="7" max="7" width="11.28515625" style="66" customWidth="1"/>
    <col min="8" max="8" width="40" style="8" customWidth="1"/>
    <col min="9" max="16384" width="9.28515625" style="8"/>
  </cols>
  <sheetData>
    <row r="1" spans="1:8" s="6" customFormat="1" x14ac:dyDescent="0.25">
      <c r="A1" s="46" t="s">
        <v>245</v>
      </c>
      <c r="B1" s="47" t="s">
        <v>246</v>
      </c>
      <c r="C1" s="47" t="s">
        <v>56</v>
      </c>
      <c r="D1" s="47" t="s">
        <v>247</v>
      </c>
      <c r="E1" s="47" t="s">
        <v>248</v>
      </c>
      <c r="F1" s="48" t="s">
        <v>213</v>
      </c>
      <c r="G1" s="65" t="s">
        <v>234</v>
      </c>
      <c r="H1" s="48" t="s">
        <v>11</v>
      </c>
    </row>
    <row r="2" spans="1:8" ht="30" x14ac:dyDescent="0.25">
      <c r="A2" s="7" t="s">
        <v>249</v>
      </c>
      <c r="B2" s="12" t="s">
        <v>250</v>
      </c>
      <c r="C2" s="12" t="s">
        <v>251</v>
      </c>
      <c r="D2" s="12" t="s">
        <v>252</v>
      </c>
      <c r="E2" s="12" t="s">
        <v>253</v>
      </c>
      <c r="F2" s="49" t="s">
        <v>254</v>
      </c>
      <c r="G2" s="66">
        <v>45923</v>
      </c>
    </row>
    <row r="3" spans="1:8" x14ac:dyDescent="0.25">
      <c r="A3" s="7" t="s">
        <v>255</v>
      </c>
      <c r="B3" s="12" t="s">
        <v>256</v>
      </c>
      <c r="C3" s="12" t="s">
        <v>251</v>
      </c>
      <c r="D3" s="12" t="s">
        <v>257</v>
      </c>
      <c r="E3" s="12" t="s">
        <v>258</v>
      </c>
      <c r="F3" s="49"/>
      <c r="G3" s="66">
        <v>45923</v>
      </c>
    </row>
  </sheetData>
  <hyperlinks>
    <hyperlink ref="F2" r:id="rId1" xr:uid="{98CDB95B-7FFD-40A2-9223-F3D6B5B680D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1F60F-7861-42D6-856A-EE1DE93CAC00}">
  <sheetPr>
    <tabColor theme="3" tint="0.59999389629810485"/>
  </sheetPr>
  <dimension ref="A1:I3"/>
  <sheetViews>
    <sheetView workbookViewId="0">
      <pane ySplit="1" topLeftCell="A2" activePane="bottomLeft" state="frozen"/>
      <selection pane="bottomLeft" activeCell="D9" sqref="D9"/>
    </sheetView>
  </sheetViews>
  <sheetFormatPr defaultColWidth="9.28515625" defaultRowHeight="15" x14ac:dyDescent="0.25"/>
  <cols>
    <col min="1" max="1" width="8.7109375" style="7" customWidth="1"/>
    <col min="2" max="2" width="24.7109375" style="12" customWidth="1"/>
    <col min="3" max="3" width="12.28515625" style="12" customWidth="1"/>
    <col min="4" max="4" width="77.140625" style="12" customWidth="1"/>
    <col min="5" max="5" width="18.42578125" style="12" customWidth="1"/>
    <col min="6" max="6" width="11.28515625" style="8" customWidth="1"/>
    <col min="7" max="7" width="7" style="9" customWidth="1"/>
    <col min="8" max="8" width="23.42578125" style="8" customWidth="1"/>
    <col min="9" max="9" width="9.5703125" style="10" customWidth="1"/>
    <col min="10" max="16384" width="9.28515625" style="8"/>
  </cols>
  <sheetData>
    <row r="1" spans="1:9" s="6" customFormat="1" x14ac:dyDescent="0.25">
      <c r="A1" s="46" t="s">
        <v>211</v>
      </c>
      <c r="B1" s="47" t="s">
        <v>212</v>
      </c>
      <c r="C1" s="47" t="s">
        <v>42</v>
      </c>
      <c r="D1" s="47" t="s">
        <v>23</v>
      </c>
      <c r="E1" s="47" t="s">
        <v>260</v>
      </c>
      <c r="F1" s="48" t="s">
        <v>213</v>
      </c>
      <c r="G1" s="67" t="s">
        <v>261</v>
      </c>
      <c r="H1" s="48" t="s">
        <v>11</v>
      </c>
      <c r="I1" s="61" t="s">
        <v>234</v>
      </c>
    </row>
    <row r="2" spans="1:9" x14ac:dyDescent="0.25">
      <c r="A2" s="7" t="s">
        <v>264</v>
      </c>
      <c r="B2" s="12" t="s">
        <v>214</v>
      </c>
      <c r="D2" s="12" t="s">
        <v>215</v>
      </c>
      <c r="F2" s="49" t="str">
        <f>HYPERLINK("https://owasp.org/about/",B2)</f>
        <v>OWASP</v>
      </c>
      <c r="G2" s="68" t="s">
        <v>241</v>
      </c>
      <c r="I2" s="10">
        <v>45948</v>
      </c>
    </row>
    <row r="3" spans="1:9" x14ac:dyDescent="0.25">
      <c r="A3" s="7" t="s">
        <v>265</v>
      </c>
      <c r="B3" s="12" t="s">
        <v>216</v>
      </c>
      <c r="D3" s="12" t="s">
        <v>217</v>
      </c>
    </row>
  </sheetData>
  <sheetProtection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ED3DB-6403-4590-9FF7-B383F43D7FCF}">
  <sheetPr>
    <tabColor theme="8" tint="-0.499984740745262"/>
  </sheetPr>
  <dimension ref="A1:L2"/>
  <sheetViews>
    <sheetView tabSelected="1" workbookViewId="0">
      <pane ySplit="1" topLeftCell="A2" activePane="bottomLeft" state="frozen"/>
      <selection pane="bottomLeft" activeCell="H30" sqref="H30"/>
    </sheetView>
  </sheetViews>
  <sheetFormatPr defaultColWidth="9.140625" defaultRowHeight="15" x14ac:dyDescent="0.25"/>
  <cols>
    <col min="1" max="1" width="3.140625" style="8" customWidth="1"/>
    <col min="2" max="2" width="7.85546875" style="7" customWidth="1"/>
    <col min="3" max="3" width="14" style="8" customWidth="1"/>
    <col min="4" max="4" width="16.85546875" style="8" customWidth="1"/>
    <col min="5" max="5" width="59.140625" style="8" customWidth="1"/>
    <col min="6" max="6" width="15.85546875" style="8" customWidth="1"/>
    <col min="7" max="7" width="10.28515625" style="8" customWidth="1"/>
    <col min="8" max="8" width="6.85546875" style="8" customWidth="1"/>
    <col min="9" max="9" width="5.28515625" style="8" customWidth="1"/>
    <col min="10" max="10" width="7.85546875" style="8" customWidth="1"/>
    <col min="11" max="11" width="10.140625" style="10" customWidth="1"/>
    <col min="12" max="12" width="26.7109375" style="8" customWidth="1"/>
    <col min="13" max="16384" width="9.140625" style="8"/>
  </cols>
  <sheetData>
    <row r="1" spans="1:12" s="6" customFormat="1" x14ac:dyDescent="0.25">
      <c r="A1" s="3" t="s">
        <v>54</v>
      </c>
      <c r="B1" s="1" t="s">
        <v>288</v>
      </c>
      <c r="C1" s="3" t="s">
        <v>42</v>
      </c>
      <c r="D1" s="3" t="s">
        <v>55</v>
      </c>
      <c r="E1" s="3" t="s">
        <v>289</v>
      </c>
      <c r="F1" s="3" t="s">
        <v>260</v>
      </c>
      <c r="G1" s="3" t="s">
        <v>213</v>
      </c>
      <c r="H1" s="3" t="s">
        <v>266</v>
      </c>
      <c r="I1" s="3" t="s">
        <v>267</v>
      </c>
      <c r="J1" s="3" t="s">
        <v>268</v>
      </c>
      <c r="K1" s="17" t="s">
        <v>234</v>
      </c>
      <c r="L1" s="3" t="s">
        <v>11</v>
      </c>
    </row>
    <row r="2" spans="1:12" x14ac:dyDescent="0.25">
      <c r="B2" s="7" t="s">
        <v>240</v>
      </c>
    </row>
  </sheetData>
  <sheetProtection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O56"/>
  <sheetViews>
    <sheetView workbookViewId="0">
      <selection activeCell="H23" sqref="H23"/>
    </sheetView>
  </sheetViews>
  <sheetFormatPr defaultColWidth="9.140625" defaultRowHeight="15" x14ac:dyDescent="0.25"/>
  <cols>
    <col min="1" max="1" width="11.7109375" style="8" customWidth="1"/>
    <col min="2" max="2" width="22" style="8" customWidth="1"/>
    <col min="3" max="3" width="1" style="8" customWidth="1"/>
    <col min="4" max="4" width="7" style="7" customWidth="1"/>
    <col min="5" max="5" width="14.140625" style="8" customWidth="1"/>
    <col min="6" max="6" width="1.140625" style="8" customWidth="1"/>
    <col min="7" max="7" width="6" style="8" customWidth="1"/>
    <col min="8" max="8" width="24.28515625" style="8" customWidth="1"/>
    <col min="9" max="9" width="1.140625" style="8" customWidth="1"/>
    <col min="10" max="10" width="9.140625" style="8"/>
    <col min="11" max="11" width="13.140625" style="8" customWidth="1"/>
    <col min="12" max="12" width="1.140625" style="8" customWidth="1"/>
    <col min="13" max="13" width="9.140625" style="8"/>
    <col min="14" max="14" width="18.42578125" style="8" customWidth="1"/>
    <col min="15" max="15" width="20.5703125" style="8" customWidth="1"/>
    <col min="16" max="16384" width="9.140625" style="8"/>
  </cols>
  <sheetData>
    <row r="1" spans="1:15" x14ac:dyDescent="0.25">
      <c r="A1" s="13" t="s">
        <v>21</v>
      </c>
      <c r="D1" s="14" t="s">
        <v>4</v>
      </c>
      <c r="G1" s="13" t="s">
        <v>5</v>
      </c>
      <c r="J1" s="13" t="s">
        <v>57</v>
      </c>
      <c r="M1" s="13" t="s">
        <v>61</v>
      </c>
    </row>
    <row r="2" spans="1:15" x14ac:dyDescent="0.25">
      <c r="A2" s="15" t="s">
        <v>22</v>
      </c>
      <c r="B2" s="15" t="s">
        <v>23</v>
      </c>
      <c r="D2" s="16" t="s">
        <v>22</v>
      </c>
      <c r="E2" s="15" t="s">
        <v>23</v>
      </c>
      <c r="G2" s="15" t="s">
        <v>22</v>
      </c>
      <c r="H2" s="15" t="s">
        <v>23</v>
      </c>
      <c r="J2" s="22" t="s">
        <v>22</v>
      </c>
      <c r="K2" s="22" t="s">
        <v>23</v>
      </c>
      <c r="M2" s="22" t="s">
        <v>22</v>
      </c>
      <c r="N2" s="22" t="s">
        <v>23</v>
      </c>
      <c r="O2" s="22" t="s">
        <v>62</v>
      </c>
    </row>
    <row r="3" spans="1:15" x14ac:dyDescent="0.25">
      <c r="A3" s="8" t="s">
        <v>15</v>
      </c>
      <c r="B3" s="8" t="s">
        <v>24</v>
      </c>
      <c r="D3" s="7">
        <v>1</v>
      </c>
      <c r="E3" s="8" t="s">
        <v>25</v>
      </c>
      <c r="G3" s="8" t="s">
        <v>18</v>
      </c>
      <c r="H3" s="8" t="s">
        <v>26</v>
      </c>
      <c r="J3" s="8" t="s">
        <v>58</v>
      </c>
      <c r="K3" s="8" t="s">
        <v>58</v>
      </c>
      <c r="M3" s="8" t="s">
        <v>63</v>
      </c>
      <c r="N3" s="8" t="s">
        <v>64</v>
      </c>
      <c r="O3" s="8" t="s">
        <v>65</v>
      </c>
    </row>
    <row r="4" spans="1:15" x14ac:dyDescent="0.25">
      <c r="A4" s="8" t="s">
        <v>17</v>
      </c>
      <c r="B4" s="8" t="s">
        <v>27</v>
      </c>
      <c r="D4" s="7">
        <v>2</v>
      </c>
      <c r="E4" s="8" t="s">
        <v>28</v>
      </c>
      <c r="G4" s="8" t="s">
        <v>16</v>
      </c>
      <c r="H4" s="8" t="s">
        <v>29</v>
      </c>
      <c r="J4" s="8" t="s">
        <v>59</v>
      </c>
      <c r="K4" s="8" t="s">
        <v>59</v>
      </c>
      <c r="M4" s="8" t="s">
        <v>66</v>
      </c>
      <c r="N4" s="8" t="s">
        <v>67</v>
      </c>
      <c r="O4" s="8" t="s">
        <v>68</v>
      </c>
    </row>
    <row r="5" spans="1:15" x14ac:dyDescent="0.25">
      <c r="A5" s="8" t="s">
        <v>19</v>
      </c>
      <c r="B5" s="8" t="s">
        <v>30</v>
      </c>
      <c r="D5" s="7">
        <v>3</v>
      </c>
      <c r="E5" s="8" t="s">
        <v>34</v>
      </c>
      <c r="G5" s="8" t="s">
        <v>31</v>
      </c>
      <c r="H5" s="8" t="s">
        <v>32</v>
      </c>
      <c r="J5" s="8" t="s">
        <v>60</v>
      </c>
      <c r="K5" s="8" t="s">
        <v>60</v>
      </c>
      <c r="M5" s="8" t="s">
        <v>69</v>
      </c>
      <c r="N5" s="8" t="s">
        <v>70</v>
      </c>
      <c r="O5" s="8" t="s">
        <v>68</v>
      </c>
    </row>
    <row r="6" spans="1:15" x14ac:dyDescent="0.25">
      <c r="A6" s="8" t="s">
        <v>33</v>
      </c>
      <c r="B6" s="8" t="s">
        <v>33</v>
      </c>
      <c r="D6" s="7">
        <v>9</v>
      </c>
      <c r="E6" s="8" t="s">
        <v>38</v>
      </c>
      <c r="G6" s="8" t="s">
        <v>20</v>
      </c>
      <c r="H6" s="8" t="s">
        <v>35</v>
      </c>
      <c r="J6" s="8" t="s">
        <v>38</v>
      </c>
      <c r="M6" s="8" t="s">
        <v>71</v>
      </c>
      <c r="N6" s="8" t="s">
        <v>72</v>
      </c>
      <c r="O6" s="8" t="s">
        <v>73</v>
      </c>
    </row>
    <row r="7" spans="1:15" x14ac:dyDescent="0.25">
      <c r="A7" s="8" t="s">
        <v>36</v>
      </c>
      <c r="B7" s="8" t="s">
        <v>37</v>
      </c>
      <c r="M7" s="8" t="s">
        <v>74</v>
      </c>
      <c r="N7" s="8" t="s">
        <v>75</v>
      </c>
      <c r="O7" s="8" t="s">
        <v>73</v>
      </c>
    </row>
    <row r="8" spans="1:15" x14ac:dyDescent="0.25">
      <c r="M8" s="8" t="s">
        <v>76</v>
      </c>
      <c r="N8" s="8" t="s">
        <v>77</v>
      </c>
      <c r="O8" s="8" t="s">
        <v>78</v>
      </c>
    </row>
    <row r="9" spans="1:15" x14ac:dyDescent="0.25">
      <c r="M9" s="8" t="s">
        <v>79</v>
      </c>
      <c r="N9" s="8" t="s">
        <v>80</v>
      </c>
      <c r="O9" s="8" t="s">
        <v>78</v>
      </c>
    </row>
    <row r="10" spans="1:15" x14ac:dyDescent="0.25">
      <c r="M10" s="8" t="s">
        <v>81</v>
      </c>
      <c r="N10" s="8" t="s">
        <v>82</v>
      </c>
      <c r="O10" s="8" t="s">
        <v>83</v>
      </c>
    </row>
    <row r="11" spans="1:15" x14ac:dyDescent="0.25">
      <c r="M11" s="8" t="s">
        <v>84</v>
      </c>
      <c r="N11" s="8" t="s">
        <v>85</v>
      </c>
      <c r="O11" s="8" t="s">
        <v>83</v>
      </c>
    </row>
    <row r="12" spans="1:15" x14ac:dyDescent="0.25">
      <c r="M12" s="8" t="s">
        <v>86</v>
      </c>
      <c r="N12" s="8" t="s">
        <v>87</v>
      </c>
      <c r="O12" s="8" t="s">
        <v>68</v>
      </c>
    </row>
    <row r="13" spans="1:15" x14ac:dyDescent="0.25">
      <c r="M13" s="8" t="s">
        <v>88</v>
      </c>
      <c r="N13" s="8" t="s">
        <v>89</v>
      </c>
      <c r="O13" s="8" t="s">
        <v>68</v>
      </c>
    </row>
    <row r="14" spans="1:15" x14ac:dyDescent="0.25">
      <c r="M14" s="8" t="s">
        <v>90</v>
      </c>
      <c r="N14" s="8" t="s">
        <v>91</v>
      </c>
      <c r="O14" s="8" t="s">
        <v>68</v>
      </c>
    </row>
    <row r="15" spans="1:15" x14ac:dyDescent="0.25">
      <c r="M15" s="8" t="s">
        <v>92</v>
      </c>
      <c r="N15" s="8" t="s">
        <v>93</v>
      </c>
      <c r="O15" s="8" t="s">
        <v>94</v>
      </c>
    </row>
    <row r="16" spans="1:15" x14ac:dyDescent="0.25">
      <c r="M16" s="8" t="s">
        <v>95</v>
      </c>
      <c r="N16" s="8" t="s">
        <v>96</v>
      </c>
      <c r="O16" s="8" t="s">
        <v>94</v>
      </c>
    </row>
    <row r="17" spans="13:15" x14ac:dyDescent="0.25">
      <c r="M17" s="8" t="s">
        <v>97</v>
      </c>
      <c r="N17" s="8" t="s">
        <v>98</v>
      </c>
      <c r="O17" s="8" t="s">
        <v>73</v>
      </c>
    </row>
    <row r="18" spans="13:15" x14ac:dyDescent="0.25">
      <c r="M18" s="8" t="s">
        <v>99</v>
      </c>
      <c r="N18" s="8" t="s">
        <v>100</v>
      </c>
      <c r="O18" s="8" t="s">
        <v>73</v>
      </c>
    </row>
    <row r="19" spans="13:15" x14ac:dyDescent="0.25">
      <c r="M19" s="8" t="s">
        <v>101</v>
      </c>
      <c r="N19" s="8" t="s">
        <v>102</v>
      </c>
      <c r="O19" s="8" t="s">
        <v>103</v>
      </c>
    </row>
    <row r="20" spans="13:15" x14ac:dyDescent="0.25">
      <c r="M20" s="8" t="s">
        <v>104</v>
      </c>
      <c r="N20" s="8" t="s">
        <v>105</v>
      </c>
      <c r="O20" s="8" t="s">
        <v>103</v>
      </c>
    </row>
    <row r="21" spans="13:15" x14ac:dyDescent="0.25">
      <c r="M21" s="8" t="s">
        <v>106</v>
      </c>
      <c r="N21" s="8" t="s">
        <v>107</v>
      </c>
      <c r="O21" s="8" t="s">
        <v>103</v>
      </c>
    </row>
    <row r="22" spans="13:15" x14ac:dyDescent="0.25">
      <c r="M22" s="8" t="s">
        <v>108</v>
      </c>
      <c r="N22" s="8" t="s">
        <v>109</v>
      </c>
      <c r="O22" s="8" t="s">
        <v>103</v>
      </c>
    </row>
    <row r="23" spans="13:15" x14ac:dyDescent="0.25">
      <c r="M23" s="8" t="s">
        <v>110</v>
      </c>
      <c r="N23" s="8" t="s">
        <v>111</v>
      </c>
      <c r="O23" s="8" t="s">
        <v>68</v>
      </c>
    </row>
    <row r="24" spans="13:15" x14ac:dyDescent="0.25">
      <c r="M24" s="8" t="s">
        <v>112</v>
      </c>
      <c r="N24" s="8" t="s">
        <v>113</v>
      </c>
      <c r="O24" s="8" t="s">
        <v>68</v>
      </c>
    </row>
    <row r="25" spans="13:15" x14ac:dyDescent="0.25">
      <c r="M25" s="8" t="s">
        <v>114</v>
      </c>
      <c r="N25" s="8" t="s">
        <v>115</v>
      </c>
      <c r="O25" s="8" t="s">
        <v>68</v>
      </c>
    </row>
    <row r="26" spans="13:15" x14ac:dyDescent="0.25">
      <c r="M26" s="8" t="s">
        <v>116</v>
      </c>
      <c r="N26" s="8" t="s">
        <v>117</v>
      </c>
      <c r="O26" s="8" t="s">
        <v>68</v>
      </c>
    </row>
    <row r="27" spans="13:15" x14ac:dyDescent="0.25">
      <c r="M27" s="8" t="s">
        <v>118</v>
      </c>
      <c r="N27" s="8" t="s">
        <v>119</v>
      </c>
      <c r="O27" s="8" t="s">
        <v>73</v>
      </c>
    </row>
    <row r="28" spans="13:15" x14ac:dyDescent="0.25">
      <c r="M28" s="8" t="s">
        <v>120</v>
      </c>
      <c r="N28" s="8" t="s">
        <v>121</v>
      </c>
      <c r="O28" s="8" t="s">
        <v>68</v>
      </c>
    </row>
    <row r="29" spans="13:15" x14ac:dyDescent="0.25">
      <c r="M29" s="8" t="s">
        <v>122</v>
      </c>
      <c r="N29" s="8" t="s">
        <v>123</v>
      </c>
      <c r="O29" s="8" t="s">
        <v>73</v>
      </c>
    </row>
    <row r="30" spans="13:15" x14ac:dyDescent="0.25">
      <c r="M30" s="8" t="s">
        <v>124</v>
      </c>
      <c r="N30" s="8" t="s">
        <v>125</v>
      </c>
      <c r="O30" s="8" t="s">
        <v>73</v>
      </c>
    </row>
    <row r="31" spans="13:15" x14ac:dyDescent="0.25">
      <c r="M31" s="8" t="s">
        <v>126</v>
      </c>
      <c r="N31" s="8" t="s">
        <v>127</v>
      </c>
      <c r="O31" s="8" t="s">
        <v>73</v>
      </c>
    </row>
    <row r="32" spans="13:15" x14ac:dyDescent="0.25">
      <c r="M32" s="8" t="s">
        <v>128</v>
      </c>
      <c r="N32" s="8" t="s">
        <v>129</v>
      </c>
      <c r="O32" s="8" t="s">
        <v>103</v>
      </c>
    </row>
    <row r="33" spans="13:15" x14ac:dyDescent="0.25">
      <c r="M33" s="8" t="s">
        <v>130</v>
      </c>
      <c r="N33" s="8" t="s">
        <v>131</v>
      </c>
      <c r="O33" s="8" t="s">
        <v>103</v>
      </c>
    </row>
    <row r="34" spans="13:15" x14ac:dyDescent="0.25">
      <c r="M34" s="8" t="s">
        <v>132</v>
      </c>
      <c r="N34" s="8" t="s">
        <v>133</v>
      </c>
      <c r="O34" s="8" t="s">
        <v>103</v>
      </c>
    </row>
    <row r="35" spans="13:15" x14ac:dyDescent="0.25">
      <c r="M35" s="8" t="s">
        <v>134</v>
      </c>
      <c r="N35" s="8" t="s">
        <v>135</v>
      </c>
      <c r="O35" s="8" t="s">
        <v>103</v>
      </c>
    </row>
    <row r="36" spans="13:15" x14ac:dyDescent="0.25">
      <c r="M36" s="8" t="s">
        <v>136</v>
      </c>
      <c r="N36" s="8" t="s">
        <v>137</v>
      </c>
      <c r="O36" s="8" t="s">
        <v>73</v>
      </c>
    </row>
    <row r="37" spans="13:15" x14ac:dyDescent="0.25">
      <c r="M37" s="8" t="s">
        <v>138</v>
      </c>
      <c r="N37" s="8" t="s">
        <v>139</v>
      </c>
      <c r="O37" s="8" t="s">
        <v>103</v>
      </c>
    </row>
    <row r="38" spans="13:15" x14ac:dyDescent="0.25">
      <c r="M38" s="8" t="s">
        <v>140</v>
      </c>
      <c r="N38" s="8" t="s">
        <v>141</v>
      </c>
      <c r="O38" s="8" t="s">
        <v>68</v>
      </c>
    </row>
    <row r="39" spans="13:15" x14ac:dyDescent="0.25">
      <c r="M39" s="8" t="s">
        <v>142</v>
      </c>
      <c r="N39" s="8" t="s">
        <v>143</v>
      </c>
      <c r="O39" s="8" t="s">
        <v>68</v>
      </c>
    </row>
    <row r="40" spans="13:15" x14ac:dyDescent="0.25">
      <c r="M40" s="8" t="s">
        <v>144</v>
      </c>
      <c r="N40" s="8" t="s">
        <v>145</v>
      </c>
      <c r="O40" s="8" t="s">
        <v>73</v>
      </c>
    </row>
    <row r="41" spans="13:15" x14ac:dyDescent="0.25">
      <c r="M41" s="8" t="s">
        <v>146</v>
      </c>
      <c r="N41" s="8" t="s">
        <v>147</v>
      </c>
      <c r="O41" s="8" t="s">
        <v>73</v>
      </c>
    </row>
    <row r="42" spans="13:15" x14ac:dyDescent="0.25">
      <c r="M42" s="8" t="s">
        <v>148</v>
      </c>
      <c r="N42" s="8" t="s">
        <v>149</v>
      </c>
      <c r="O42" s="8" t="s">
        <v>150</v>
      </c>
    </row>
    <row r="43" spans="13:15" x14ac:dyDescent="0.25">
      <c r="M43" s="8" t="s">
        <v>151</v>
      </c>
      <c r="N43" s="8" t="s">
        <v>152</v>
      </c>
      <c r="O43" s="8" t="s">
        <v>150</v>
      </c>
    </row>
    <row r="44" spans="13:15" x14ac:dyDescent="0.25">
      <c r="M44" s="8" t="s">
        <v>153</v>
      </c>
      <c r="N44" s="8" t="s">
        <v>154</v>
      </c>
      <c r="O44" s="8" t="s">
        <v>94</v>
      </c>
    </row>
    <row r="45" spans="13:15" x14ac:dyDescent="0.25">
      <c r="M45" s="8" t="s">
        <v>155</v>
      </c>
      <c r="N45" s="8" t="s">
        <v>156</v>
      </c>
      <c r="O45" s="8" t="s">
        <v>94</v>
      </c>
    </row>
    <row r="46" spans="13:15" x14ac:dyDescent="0.25">
      <c r="M46" s="8" t="s">
        <v>157</v>
      </c>
      <c r="N46" s="8" t="s">
        <v>158</v>
      </c>
      <c r="O46" s="8" t="s">
        <v>78</v>
      </c>
    </row>
    <row r="47" spans="13:15" x14ac:dyDescent="0.25">
      <c r="M47" s="8" t="s">
        <v>159</v>
      </c>
      <c r="N47" s="8" t="s">
        <v>160</v>
      </c>
      <c r="O47" s="8" t="s">
        <v>78</v>
      </c>
    </row>
    <row r="48" spans="13:15" x14ac:dyDescent="0.25">
      <c r="M48" s="8" t="s">
        <v>161</v>
      </c>
      <c r="N48" s="8" t="s">
        <v>162</v>
      </c>
      <c r="O48" s="8" t="s">
        <v>150</v>
      </c>
    </row>
    <row r="49" spans="13:15" x14ac:dyDescent="0.25">
      <c r="M49" s="8" t="s">
        <v>163</v>
      </c>
      <c r="N49" s="8" t="s">
        <v>164</v>
      </c>
      <c r="O49" s="8" t="s">
        <v>150</v>
      </c>
    </row>
    <row r="50" spans="13:15" x14ac:dyDescent="0.25">
      <c r="M50" s="8" t="s">
        <v>165</v>
      </c>
      <c r="N50" s="8" t="s">
        <v>166</v>
      </c>
      <c r="O50" s="8" t="s">
        <v>103</v>
      </c>
    </row>
    <row r="51" spans="13:15" x14ac:dyDescent="0.25">
      <c r="M51" s="8" t="s">
        <v>167</v>
      </c>
      <c r="N51" s="8" t="s">
        <v>168</v>
      </c>
      <c r="O51" s="8" t="s">
        <v>103</v>
      </c>
    </row>
    <row r="52" spans="13:15" x14ac:dyDescent="0.25">
      <c r="M52" s="8" t="s">
        <v>169</v>
      </c>
      <c r="N52" s="8" t="s">
        <v>170</v>
      </c>
      <c r="O52" s="8" t="s">
        <v>83</v>
      </c>
    </row>
    <row r="53" spans="13:15" x14ac:dyDescent="0.25">
      <c r="M53" s="8" t="s">
        <v>171</v>
      </c>
      <c r="N53" s="8" t="s">
        <v>172</v>
      </c>
      <c r="O53" s="8" t="s">
        <v>83</v>
      </c>
    </row>
    <row r="54" spans="13:15" x14ac:dyDescent="0.25">
      <c r="M54" s="8" t="s">
        <v>173</v>
      </c>
      <c r="N54" s="8" t="s">
        <v>174</v>
      </c>
      <c r="O54" s="8" t="s">
        <v>83</v>
      </c>
    </row>
    <row r="55" spans="13:15" x14ac:dyDescent="0.25">
      <c r="M55" s="8" t="s">
        <v>175</v>
      </c>
      <c r="N55" s="8" t="s">
        <v>176</v>
      </c>
      <c r="O55" s="8" t="s">
        <v>177</v>
      </c>
    </row>
    <row r="56" spans="13:15" x14ac:dyDescent="0.25">
      <c r="M56" s="8" t="s">
        <v>178</v>
      </c>
      <c r="N56" s="8" t="s">
        <v>179</v>
      </c>
      <c r="O56" s="8" t="s">
        <v>68</v>
      </c>
    </row>
  </sheetData>
  <sheetProtection password="C630" sheet="1" objects="1" scenarios="1"/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B179B-6FD1-4199-9F0A-5BF60FAF8619}">
  <sheetPr>
    <tabColor theme="0" tint="-0.499984740745262"/>
  </sheetPr>
  <dimension ref="A1:N11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7109375" defaultRowHeight="15" x14ac:dyDescent="0.25"/>
  <cols>
    <col min="1" max="1" width="8.7109375" style="9"/>
    <col min="2" max="2" width="56" style="43" customWidth="1"/>
    <col min="3" max="3" width="9.85546875" style="36" bestFit="1" customWidth="1"/>
    <col min="4" max="4" width="8.7109375" style="9"/>
    <col min="5" max="5" width="8.7109375" style="9" customWidth="1"/>
    <col min="6" max="7" width="7.85546875" style="9" customWidth="1"/>
    <col min="8" max="8" width="8.7109375" style="44" customWidth="1"/>
    <col min="9" max="9" width="8.7109375" style="45"/>
    <col min="10" max="11" width="9.85546875" style="36" customWidth="1"/>
    <col min="12" max="12" width="10.5703125" style="36" customWidth="1"/>
    <col min="13" max="13" width="9.85546875" style="36" bestFit="1" customWidth="1"/>
    <col min="14" max="14" width="19.5703125" style="36" customWidth="1"/>
    <col min="15" max="16384" width="8.7109375" style="36"/>
  </cols>
  <sheetData>
    <row r="1" spans="1:14" s="42" customFormat="1" x14ac:dyDescent="0.25">
      <c r="A1" s="38" t="s">
        <v>0</v>
      </c>
      <c r="B1" s="39" t="s">
        <v>1</v>
      </c>
      <c r="C1" s="37" t="s">
        <v>2</v>
      </c>
      <c r="D1" s="38" t="s">
        <v>44</v>
      </c>
      <c r="E1" s="38" t="s">
        <v>3</v>
      </c>
      <c r="F1" s="38" t="s">
        <v>4</v>
      </c>
      <c r="G1" s="38" t="s">
        <v>5</v>
      </c>
      <c r="H1" s="40" t="s">
        <v>6</v>
      </c>
      <c r="I1" s="41" t="s">
        <v>208</v>
      </c>
      <c r="J1" s="37" t="s">
        <v>7</v>
      </c>
      <c r="K1" s="37" t="s">
        <v>209</v>
      </c>
      <c r="L1" s="37" t="s">
        <v>9</v>
      </c>
      <c r="M1" s="37" t="s">
        <v>10</v>
      </c>
      <c r="N1" s="37" t="s">
        <v>11</v>
      </c>
    </row>
    <row r="2" spans="1:14" x14ac:dyDescent="0.25">
      <c r="A2" s="9" t="s">
        <v>45</v>
      </c>
      <c r="B2" s="43" t="s">
        <v>13</v>
      </c>
      <c r="D2" s="9" t="s">
        <v>14</v>
      </c>
      <c r="F2" s="9">
        <v>3</v>
      </c>
      <c r="G2" s="9" t="s">
        <v>18</v>
      </c>
      <c r="H2" s="44">
        <v>2.0833333333333332E-2</v>
      </c>
      <c r="I2" s="45">
        <f>CEILING((H2*60*24)/25,1)</f>
        <v>2</v>
      </c>
      <c r="J2" s="35">
        <v>44803</v>
      </c>
      <c r="K2" s="35">
        <v>44864</v>
      </c>
      <c r="L2" s="36" t="s">
        <v>15</v>
      </c>
    </row>
    <row r="3" spans="1:14" x14ac:dyDescent="0.25">
      <c r="A3" s="9" t="s">
        <v>46</v>
      </c>
      <c r="C3" s="35"/>
      <c r="J3" s="35"/>
    </row>
    <row r="4" spans="1:14" x14ac:dyDescent="0.25">
      <c r="A4" s="9" t="s">
        <v>47</v>
      </c>
      <c r="C4" s="35"/>
    </row>
    <row r="5" spans="1:14" x14ac:dyDescent="0.25">
      <c r="A5" s="9" t="s">
        <v>48</v>
      </c>
      <c r="C5" s="35"/>
    </row>
    <row r="6" spans="1:14" x14ac:dyDescent="0.25">
      <c r="A6" s="9" t="s">
        <v>49</v>
      </c>
      <c r="C6" s="35"/>
    </row>
    <row r="7" spans="1:14" x14ac:dyDescent="0.25">
      <c r="A7" s="9" t="s">
        <v>50</v>
      </c>
      <c r="C7" s="35"/>
      <c r="J7" s="35"/>
      <c r="K7" s="35"/>
    </row>
    <row r="8" spans="1:14" x14ac:dyDescent="0.25">
      <c r="A8" s="9" t="s">
        <v>51</v>
      </c>
      <c r="C8" s="35"/>
      <c r="J8" s="35"/>
    </row>
    <row r="9" spans="1:14" x14ac:dyDescent="0.25">
      <c r="A9" s="9" t="s">
        <v>12</v>
      </c>
    </row>
    <row r="10" spans="1:14" x14ac:dyDescent="0.25">
      <c r="A10" s="9" t="s">
        <v>52</v>
      </c>
    </row>
    <row r="11" spans="1:14" x14ac:dyDescent="0.25">
      <c r="A11" s="9" t="s">
        <v>53</v>
      </c>
    </row>
  </sheetData>
  <sheetProtection algorithmName="SHA-512" hashValue="hbXXNMnrIpRLBv6BlqdPFJr9UrqgEP+cOs+il2+puBPW6+Qcx0VpnQ1KjfnJcU01pjMzAQA9JB5Nupt99+rQJQ==" saltValue="K0E+7lBZ/AJOIvChdpoqKQ==" spinCount="100000" sheet="1" objects="1" scenarios="1"/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0.1-notes</vt:lpstr>
      <vt:lpstr>0.2-diary</vt:lpstr>
      <vt:lpstr>0.3-todo</vt:lpstr>
      <vt:lpstr>4.0-milestones</vt:lpstr>
      <vt:lpstr>4.1-steps</vt:lpstr>
      <vt:lpstr>4.3-pseudo</vt:lpstr>
      <vt:lpstr>7-qna</vt:lpstr>
      <vt:lpstr>8-cmd</vt:lpstr>
      <vt:lpstr>9-terms</vt:lpstr>
      <vt:lpstr>10-ref</vt:lpstr>
      <vt:lpstr>25-codes</vt:lpstr>
      <vt:lpstr>50-arch-todo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Natarajan V</dc:creator>
  <cp:lastModifiedBy>Natarajan V</cp:lastModifiedBy>
  <dcterms:created xsi:type="dcterms:W3CDTF">2022-10-11T05:32:37Z</dcterms:created>
  <dcterms:modified xsi:type="dcterms:W3CDTF">2025-11-02T09:40:10Z</dcterms:modified>
  <cp:contentStatus/>
</cp:coreProperties>
</file>